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enno365-my.sharepoint.com/personal/liuruiqi_upenn_edu/Documents/GRC NYC/"/>
    </mc:Choice>
  </mc:AlternateContent>
  <xr:revisionPtr revIDLastSave="2031" documentId="11_F25DC773A252ABDACC1048D3115A5E685ADE58E8" xr6:coauthVersionLast="47" xr6:coauthVersionMax="47" xr10:uidLastSave="{F1C19380-CCAD-4920-867C-BEFBF2342983}"/>
  <bookViews>
    <workbookView xWindow="-108" yWindow="-108" windowWidth="23256" windowHeight="13896" activeTab="1" xr2:uid="{00000000-000D-0000-FFFF-FFFF00000000}"/>
  </bookViews>
  <sheets>
    <sheet name="Assumptions" sheetId="1" r:id="rId1"/>
    <sheet name="5Y Projec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D70" i="1"/>
  <c r="D69" i="1" s="1"/>
  <c r="D68" i="1" s="1"/>
  <c r="D66" i="1"/>
  <c r="D64" i="1" s="1"/>
  <c r="D65" i="1"/>
  <c r="D5" i="2"/>
  <c r="D76" i="1"/>
  <c r="D72" i="1"/>
  <c r="D78" i="1"/>
  <c r="D77" i="1" s="1"/>
  <c r="D74" i="1"/>
  <c r="D73" i="1" s="1"/>
  <c r="D59" i="1"/>
  <c r="D60" i="1" s="1"/>
  <c r="D57" i="1" s="1"/>
  <c r="D54" i="1"/>
  <c r="D55" i="1" s="1"/>
  <c r="D52" i="1" s="1"/>
  <c r="D50" i="1"/>
  <c r="D51" i="1" s="1"/>
  <c r="D48" i="1" s="1"/>
  <c r="D46" i="1"/>
  <c r="D47" i="1" s="1"/>
  <c r="D44" i="1" s="1"/>
  <c r="D42" i="1"/>
  <c r="D43" i="1" s="1"/>
  <c r="D40" i="1" s="1"/>
  <c r="D31" i="1"/>
  <c r="D30" i="1"/>
  <c r="D29" i="1"/>
  <c r="D27" i="1"/>
  <c r="D26" i="1"/>
  <c r="D25" i="1"/>
  <c r="D24" i="1" l="1"/>
  <c r="D35" i="1" s="1"/>
  <c r="E35" i="1" s="1"/>
  <c r="F35" i="1" s="1"/>
  <c r="G35" i="1" s="1"/>
  <c r="H35" i="1" s="1"/>
  <c r="D28" i="1"/>
  <c r="D32" i="1" s="1"/>
  <c r="D37" i="1" s="1"/>
  <c r="D26" i="2" s="1"/>
  <c r="D7" i="2"/>
  <c r="E12" i="1"/>
  <c r="E7" i="2" s="1"/>
  <c r="D30" i="2"/>
  <c r="D29" i="2"/>
  <c r="D27" i="2"/>
  <c r="D18" i="2"/>
  <c r="E18" i="2" s="1"/>
  <c r="F18" i="2" s="1"/>
  <c r="G18" i="2" s="1"/>
  <c r="H18" i="2" s="1"/>
  <c r="D17" i="2"/>
  <c r="E17" i="2" s="1"/>
  <c r="F17" i="2" s="1"/>
  <c r="G17" i="2" s="1"/>
  <c r="H17" i="2" s="1"/>
  <c r="D16" i="2"/>
  <c r="D15" i="2"/>
  <c r="E15" i="2" s="1"/>
  <c r="D14" i="2"/>
  <c r="D9" i="2"/>
  <c r="H14" i="2"/>
  <c r="G14" i="2"/>
  <c r="F14" i="2"/>
  <c r="E14" i="2"/>
  <c r="H29" i="2"/>
  <c r="G29" i="2"/>
  <c r="F29" i="2"/>
  <c r="E29" i="2"/>
  <c r="H27" i="2"/>
  <c r="G27" i="2"/>
  <c r="F27" i="2"/>
  <c r="E27" i="2"/>
  <c r="H9" i="2"/>
  <c r="G9" i="2"/>
  <c r="F9" i="2"/>
  <c r="E9" i="2"/>
  <c r="H17" i="1"/>
  <c r="G17" i="1"/>
  <c r="G28" i="2" s="1"/>
  <c r="F17" i="1"/>
  <c r="F10" i="2" s="1"/>
  <c r="E17" i="1"/>
  <c r="E20" i="1" s="1"/>
  <c r="D17" i="1"/>
  <c r="D10" i="2" s="1"/>
  <c r="D36" i="1" l="1"/>
  <c r="D25" i="2" s="1"/>
  <c r="F12" i="1"/>
  <c r="D37" i="2"/>
  <c r="D38" i="2" s="1"/>
  <c r="F20" i="1"/>
  <c r="F21" i="1" s="1"/>
  <c r="F11" i="2" s="1"/>
  <c r="D20" i="2"/>
  <c r="E28" i="2"/>
  <c r="D20" i="1"/>
  <c r="D21" i="1" s="1"/>
  <c r="D11" i="2" s="1"/>
  <c r="E16" i="2"/>
  <c r="F16" i="2" s="1"/>
  <c r="G16" i="2" s="1"/>
  <c r="H16" i="2" s="1"/>
  <c r="D28" i="2"/>
  <c r="G20" i="1"/>
  <c r="G21" i="1" s="1"/>
  <c r="G11" i="2" s="1"/>
  <c r="F28" i="2"/>
  <c r="E21" i="1"/>
  <c r="E11" i="2" s="1"/>
  <c r="E10" i="2"/>
  <c r="D24" i="2"/>
  <c r="G10" i="2"/>
  <c r="F24" i="2"/>
  <c r="G24" i="2"/>
  <c r="H10" i="2"/>
  <c r="H28" i="2"/>
  <c r="H20" i="1"/>
  <c r="H21" i="1" s="1"/>
  <c r="H11" i="2" s="1"/>
  <c r="E37" i="1"/>
  <c r="H24" i="2"/>
  <c r="E24" i="2"/>
  <c r="F15" i="2"/>
  <c r="E36" i="1" l="1"/>
  <c r="E25" i="2" s="1"/>
  <c r="G12" i="1"/>
  <c r="F7" i="2"/>
  <c r="D32" i="2"/>
  <c r="D34" i="2" s="1"/>
  <c r="E20" i="2"/>
  <c r="E52" i="2" s="1"/>
  <c r="E37" i="2"/>
  <c r="E38" i="2" s="1"/>
  <c r="D51" i="2"/>
  <c r="D52" i="2"/>
  <c r="E26" i="2"/>
  <c r="F37" i="1"/>
  <c r="F37" i="2"/>
  <c r="F38" i="2" s="1"/>
  <c r="G15" i="2"/>
  <c r="F20" i="2"/>
  <c r="F36" i="1" l="1"/>
  <c r="G36" i="1" s="1"/>
  <c r="H12" i="1"/>
  <c r="H7" i="2" s="1"/>
  <c r="G7" i="2"/>
  <c r="E51" i="2"/>
  <c r="D40" i="2"/>
  <c r="D50" i="2" s="1"/>
  <c r="E32" i="2"/>
  <c r="E34" i="2" s="1"/>
  <c r="E40" i="2" s="1"/>
  <c r="F26" i="2"/>
  <c r="G37" i="1"/>
  <c r="F25" i="2"/>
  <c r="F52" i="2"/>
  <c r="F51" i="2"/>
  <c r="G37" i="2"/>
  <c r="G38" i="2" s="1"/>
  <c r="H15" i="2"/>
  <c r="H37" i="2" s="1"/>
  <c r="H38" i="2" s="1"/>
  <c r="G20" i="2"/>
  <c r="H20" i="2" l="1"/>
  <c r="H52" i="2" s="1"/>
  <c r="D43" i="2"/>
  <c r="F32" i="2"/>
  <c r="F34" i="2" s="1"/>
  <c r="G26" i="2"/>
  <c r="H37" i="1"/>
  <c r="H26" i="2" s="1"/>
  <c r="E50" i="2"/>
  <c r="E43" i="2"/>
  <c r="E45" i="2" s="1"/>
  <c r="G25" i="2"/>
  <c r="H36" i="1"/>
  <c r="H25" i="2" s="1"/>
  <c r="G52" i="2"/>
  <c r="G51" i="2"/>
  <c r="D45" i="2" l="1"/>
  <c r="D47" i="2"/>
  <c r="E47" i="2" s="1"/>
  <c r="H51" i="2"/>
  <c r="H32" i="2"/>
  <c r="H34" i="2" s="1"/>
  <c r="F40" i="2"/>
  <c r="F50" i="2" s="1"/>
  <c r="G32" i="2"/>
  <c r="G34" i="2" s="1"/>
  <c r="H40" i="2" l="1"/>
  <c r="F43" i="2"/>
  <c r="F45" i="2" s="1"/>
  <c r="G40" i="2"/>
  <c r="F47" i="2" l="1"/>
  <c r="G50" i="2"/>
  <c r="G43" i="2"/>
  <c r="H43" i="2"/>
  <c r="H45" i="2" s="1"/>
  <c r="H50" i="2"/>
  <c r="G45" i="2"/>
  <c r="G47" i="2" l="1"/>
  <c r="H47" i="2" s="1"/>
</calcChain>
</file>

<file path=xl/sharedStrings.xml><?xml version="1.0" encoding="utf-8"?>
<sst xmlns="http://schemas.openxmlformats.org/spreadsheetml/2006/main" count="187" uniqueCount="133">
  <si>
    <t>CITYCONNECT NYC — NEIGHBORHOOD NAVIGATOR</t>
  </si>
  <si>
    <t>ASSUMPTIONS &amp; DRIVERS</t>
  </si>
  <si>
    <t>(A) TIMELINE</t>
  </si>
  <si>
    <t>Year Label</t>
  </si>
  <si>
    <t>(B) OPERATING SCALE</t>
  </si>
  <si>
    <t>Editable: pilot ramp</t>
  </si>
  <si>
    <t>Editable per year</t>
  </si>
  <si>
    <t>Total navigators</t>
  </si>
  <si>
    <t>Program managers</t>
  </si>
  <si>
    <t>Add supervisor at 7+ sites</t>
  </si>
  <si>
    <t>Part-time admin/data support</t>
  </si>
  <si>
    <t>Scale with sites</t>
  </si>
  <si>
    <t>Total FTE (central team)</t>
  </si>
  <si>
    <t>Total headcount (all staff)</t>
  </si>
  <si>
    <t>(C) COMPENSATION</t>
  </si>
  <si>
    <t>Navigator base salary (Year 1)</t>
  </si>
  <si>
    <t>Annual base; grows with inflation</t>
  </si>
  <si>
    <t>Program manager salary (Year 1)</t>
  </si>
  <si>
    <t>Part-time admin salary (Year 1)</t>
  </si>
  <si>
    <t>0.5 FTE equivalent</t>
  </si>
  <si>
    <t>Fringe benefits rate</t>
  </si>
  <si>
    <t>Health, FICA, retirement, etc.</t>
  </si>
  <si>
    <t>Annual salary inflation / raises</t>
  </si>
  <si>
    <t>Applied to all salaries Year 2+</t>
  </si>
  <si>
    <t>Navigator salary by year</t>
  </si>
  <si>
    <t>PM salary by year</t>
  </si>
  <si>
    <t>Admin salary by year</t>
  </si>
  <si>
    <t>(D) NON-LABOR COSTS</t>
  </si>
  <si>
    <t>Space fee, supplies, outreach</t>
  </si>
  <si>
    <t>Tech/CRM fixed annual cost</t>
  </si>
  <si>
    <t>Platform license / hosting</t>
  </si>
  <si>
    <t>Tech/CRM variable per navigator</t>
  </si>
  <si>
    <t>Per-seat license cost</t>
  </si>
  <si>
    <t>Community awareness campaigns</t>
  </si>
  <si>
    <t>Non-labor inflation rate</t>
  </si>
  <si>
    <t>Applied to per-site costs Year 2+</t>
  </si>
  <si>
    <t>Startup costs (Year 1 only)</t>
  </si>
  <si>
    <t>Training, recruitment, setup</t>
  </si>
  <si>
    <t>(E) REVENUE ASSUMPTIONS</t>
  </si>
  <si>
    <t>Revenue Source</t>
  </si>
  <si>
    <t>Year 1 ($)</t>
  </si>
  <si>
    <t>Annual Growth</t>
  </si>
  <si>
    <t>Notes</t>
  </si>
  <si>
    <t>Government grants &amp; contracts</t>
  </si>
  <si>
    <t>Foundation grants</t>
  </si>
  <si>
    <t>Robin Hood, Clark, etc.</t>
  </si>
  <si>
    <t>Individual contributions</t>
  </si>
  <si>
    <t>Board, individual donors</t>
  </si>
  <si>
    <t>Corporate/CSR contributions</t>
  </si>
  <si>
    <t>Corporate partnerships</t>
  </si>
  <si>
    <t>Other income</t>
  </si>
  <si>
    <t>In-kind, misc</t>
  </si>
  <si>
    <t>(F) MODEL TOGGLES</t>
  </si>
  <si>
    <t>M&amp;G as % of total expenses</t>
  </si>
  <si>
    <t>Used if method = % of total</t>
  </si>
  <si>
    <t>Fundraising as % of private contributions</t>
  </si>
  <si>
    <t>Used if method = % of private</t>
  </si>
  <si>
    <t>Event/campaign budget per year</t>
  </si>
  <si>
    <t>Galas, mailings, digital</t>
  </si>
  <si>
    <t>5-YEAR STATEMENT OF ACTIVITIES PROJECTION</t>
  </si>
  <si>
    <t>OPERATING SCALE</t>
  </si>
  <si>
    <t xml:space="preserve">  Sites</t>
  </si>
  <si>
    <t xml:space="preserve">  Total navigators</t>
  </si>
  <si>
    <t xml:space="preserve">  Total headcount</t>
  </si>
  <si>
    <t>OPERATING REVENUE</t>
  </si>
  <si>
    <t xml:space="preserve">  Government grants &amp; contracts</t>
  </si>
  <si>
    <t xml:space="preserve">  Foundation grants</t>
  </si>
  <si>
    <t>15% annual growth</t>
  </si>
  <si>
    <t xml:space="preserve">  Individual contributions</t>
  </si>
  <si>
    <t>20% annual growth</t>
  </si>
  <si>
    <t xml:space="preserve">  Corporate/CSR contributions</t>
  </si>
  <si>
    <t xml:space="preserve">  Other income</t>
  </si>
  <si>
    <t>Total Operating Revenue</t>
  </si>
  <si>
    <t>OPERATING EXPENSES</t>
  </si>
  <si>
    <t>Program Services (detail)</t>
  </si>
  <si>
    <t xml:space="preserve">  Navigator compensation</t>
  </si>
  <si>
    <t>Navigators × salary × (1+fringe)</t>
  </si>
  <si>
    <t xml:space="preserve">  Program manager compensation</t>
  </si>
  <si>
    <t>PMs × salary × (1+fringe)</t>
  </si>
  <si>
    <t xml:space="preserve">  Admin/data support compensation</t>
  </si>
  <si>
    <t>Admin × salary × (1+fringe)</t>
  </si>
  <si>
    <t xml:space="preserve">  Non-labor program costs</t>
  </si>
  <si>
    <t>Sites × cost/site (inflated)</t>
  </si>
  <si>
    <t xml:space="preserve">  Technology / CRM</t>
  </si>
  <si>
    <t>Fixed + per-navigator variable</t>
  </si>
  <si>
    <t xml:space="preserve">  Marketing / outreach</t>
  </si>
  <si>
    <t>Sites × outreach/site (inflated)</t>
  </si>
  <si>
    <t xml:space="preserve">  Startup costs</t>
  </si>
  <si>
    <t>Year 1 only</t>
  </si>
  <si>
    <t>Total Program Services</t>
  </si>
  <si>
    <t>Management &amp; General</t>
  </si>
  <si>
    <t>Prog x MG%/(1-MG%); no circular ref</t>
  </si>
  <si>
    <t>Fundraising</t>
  </si>
  <si>
    <t xml:space="preserve">  Private contributions subtotal</t>
  </si>
  <si>
    <t>Foundation + Individual + Corporate</t>
  </si>
  <si>
    <t>Fundraising Expense</t>
  </si>
  <si>
    <t>12% of private contributions</t>
  </si>
  <si>
    <t>Total Operating Expenses</t>
  </si>
  <si>
    <t>SURPLUS / (DEFICIT)</t>
  </si>
  <si>
    <t>Change in Net Assets</t>
  </si>
  <si>
    <t>Revenue - Expenses</t>
  </si>
  <si>
    <t>Operating Margin %</t>
  </si>
  <si>
    <t>Per-site contract; scales with sites</t>
  </si>
  <si>
    <t>REASONABLENESS CHECKS</t>
  </si>
  <si>
    <t>Program Services % of Total Expenses</t>
  </si>
  <si>
    <t>Private Contributions % of Total Revenue</t>
  </si>
  <si>
    <t>Revenue diversification check</t>
  </si>
  <si>
    <t>Government Revenue % of Total</t>
  </si>
  <si>
    <t>Government dependency check</t>
  </si>
  <si>
    <t>MODEL LOGIC NOTES</t>
  </si>
  <si>
    <t>5. Salaries inflate at 3%/yr. Non-labor costs inflate at 2%/yr. Startup costs are Year 1 only.</t>
  </si>
  <si>
    <t>9. Benchmarked against CUCS 2022 audited financials: 88.7% program ratio, 10.4% M&amp;G, 1.0% fundraising, 27% fringe rate.</t>
  </si>
  <si>
    <t>Scales with sites + 10% growth</t>
  </si>
  <si>
    <t>Target: 75-90%</t>
  </si>
  <si>
    <t>x</t>
  </si>
  <si>
    <t>Number of neighborhoods</t>
  </si>
  <si>
    <t>Navigators per neighborhood</t>
  </si>
  <si>
    <t>Non-labor cost per neighborhood per year</t>
  </si>
  <si>
    <t>Marketing/outreach per neighborhood</t>
  </si>
  <si>
    <t>Bull</t>
  </si>
  <si>
    <t>Base</t>
  </si>
  <si>
    <t>Bear</t>
  </si>
  <si>
    <t>Scenario Chooser</t>
  </si>
  <si>
    <t>Scenario</t>
  </si>
  <si>
    <t>Total Net Assets</t>
  </si>
  <si>
    <t>1. Revenue: Government grants scale with # of neighborhoods (per-neighborhood contract model) plus 20% annual growth. Private revenue grows at fixed annual rates (Foundation 15%, Individual 30%, Corporate 15%).</t>
  </si>
  <si>
    <t>2. Program Services: Bottom-up operating model = (navigators x salary x fringe) + (PMs x salary x fringe) + (admin x salary x fringe) + non-labor per neighborhood + CRM + marketing + startup.</t>
  </si>
  <si>
    <t>3. M&amp;G: Calculated as Program Services x M&amp;G% / (1 - M&amp;G%) to avoid circular references. Varies by scenario (Bull 5%, Base 10%, Bear 15%).</t>
  </si>
  <si>
    <t>4. Fundraising: 12% of private contributions (foundation + individual + corporate).</t>
  </si>
  <si>
    <t>6. Neighborhoods ramp: 3 &gt; 4 &gt; 5 &gt; 5 &gt; 5. Navigators per neighborhood: 3 &gt; 4 &gt; 5 &gt; 5 &gt; 5. Second PM and admin added at Year 3. All editable on Assumptions tab.</t>
  </si>
  <si>
    <t>7. Three-scenario model (Bull / Base / Bear) drives salary, non-labor costs, revenue, and M&amp;G assumptions. Select scenario via Assumptions!D4.</t>
  </si>
  <si>
    <t>8. Total Net Assets row tracks cumulative surplus/(deficit) across the 5-year projection period.</t>
  </si>
  <si>
    <t>10. Bear scenario shows Year 3 deficit due to headcount scaling; Bull/Base scenarios show positive margins throughout. Switch scenarios on Assumptions tab to compare.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</si>
</sst>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&quot;$&quot;#,##0"/>
    <numFmt numFmtId="165" formatCode="0.0%"/>
    <numFmt numFmtId="166" formatCode="&quot;$&quot;#,##0;\(&quot;$&quot;#,##0\);&quot;-&quot;"/>
    <numFmt numFmtId="167" formatCode="&quot;Year&quot;\ 0"/>
    <numFmt numFmtId="168" formatCode="&quot;Year &quot;0\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i/>
      <sz val="9"/>
      <color rgb="FF80808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sz val="9"/>
      <color rgb="FF40404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1F3864"/>
      </top>
      <bottom style="double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right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0" applyFont="1"/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0" fontId="9" fillId="0" borderId="0" xfId="0" applyFont="1"/>
    <xf numFmtId="164" fontId="9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10" fillId="0" borderId="0" xfId="0" applyFont="1"/>
    <xf numFmtId="166" fontId="3" fillId="0" borderId="2" xfId="0" applyNumberFormat="1" applyFont="1" applyBorder="1" applyAlignment="1">
      <alignment horizontal="right"/>
    </xf>
    <xf numFmtId="167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1" fillId="2" borderId="0" xfId="0" applyFont="1" applyFill="1"/>
    <xf numFmtId="0" fontId="12" fillId="2" borderId="0" xfId="0" applyFont="1" applyFill="1"/>
    <xf numFmtId="168" fontId="0" fillId="2" borderId="0" xfId="0" applyNumberFormat="1" applyFill="1"/>
    <xf numFmtId="168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3" fillId="0" borderId="0" xfId="0" applyFont="1"/>
    <xf numFmtId="0" fontId="12" fillId="0" borderId="0" xfId="0" applyFont="1"/>
    <xf numFmtId="0" fontId="14" fillId="0" borderId="0" xfId="0" applyFont="1"/>
    <xf numFmtId="0" fontId="0" fillId="0" borderId="4" xfId="0" applyBorder="1" applyAlignment="1">
      <alignment horizontal="left" indent="2"/>
    </xf>
    <xf numFmtId="0" fontId="0" fillId="0" borderId="5" xfId="0" applyBorder="1" applyAlignment="1">
      <alignment horizontal="right"/>
    </xf>
    <xf numFmtId="164" fontId="5" fillId="0" borderId="6" xfId="0" applyNumberFormat="1" applyFont="1" applyBorder="1" applyAlignment="1">
      <alignment horizontal="center"/>
    </xf>
    <xf numFmtId="0" fontId="0" fillId="0" borderId="7" xfId="0" applyBorder="1" applyAlignment="1">
      <alignment horizontal="left" indent="2"/>
    </xf>
    <xf numFmtId="164" fontId="5" fillId="0" borderId="8" xfId="0" applyNumberFormat="1" applyFont="1" applyBorder="1" applyAlignment="1">
      <alignment horizontal="center"/>
    </xf>
    <xf numFmtId="0" fontId="0" fillId="0" borderId="9" xfId="0" applyBorder="1" applyAlignment="1">
      <alignment horizontal="left" indent="2"/>
    </xf>
    <xf numFmtId="0" fontId="0" fillId="0" borderId="10" xfId="0" applyBorder="1" applyAlignment="1">
      <alignment horizontal="right"/>
    </xf>
    <xf numFmtId="164" fontId="5" fillId="0" borderId="11" xfId="0" applyNumberFormat="1" applyFont="1" applyBorder="1" applyAlignment="1">
      <alignment horizontal="center"/>
    </xf>
    <xf numFmtId="9" fontId="5" fillId="0" borderId="6" xfId="1" applyFont="1" applyBorder="1" applyAlignment="1">
      <alignment horizontal="center"/>
    </xf>
    <xf numFmtId="9" fontId="5" fillId="0" borderId="8" xfId="1" applyFont="1" applyBorder="1" applyAlignment="1">
      <alignment horizontal="center"/>
    </xf>
    <xf numFmtId="9" fontId="5" fillId="0" borderId="11" xfId="1" applyFont="1" applyBorder="1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0" applyNumberFormat="1"/>
    <xf numFmtId="3" fontId="3" fillId="0" borderId="12" xfId="0" applyNumberFormat="1" applyFont="1" applyBorder="1"/>
    <xf numFmtId="3" fontId="0" fillId="0" borderId="13" xfId="0" applyNumberFormat="1" applyBorder="1"/>
    <xf numFmtId="3" fontId="3" fillId="0" borderId="13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0" fontId="14" fillId="0" borderId="12" xfId="0" applyFont="1" applyBorder="1"/>
    <xf numFmtId="0" fontId="0" fillId="0" borderId="13" xfId="0" applyBorder="1"/>
    <xf numFmtId="0" fontId="3" fillId="0" borderId="14" xfId="0" applyFont="1" applyBorder="1" applyAlignment="1">
      <alignment horizontal="center"/>
    </xf>
    <xf numFmtId="8" fontId="8" fillId="0" borderId="3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142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9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F27DAB-7B6C-40D4-A0AF-4E1D4485E30E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88"/>
  <sheetViews>
    <sheetView showGridLines="0" zoomScale="70" zoomScaleNormal="70" workbookViewId="0">
      <pane ySplit="3" topLeftCell="A45" activePane="bottomLeft" state="frozen"/>
      <selection pane="bottomLeft" activeCell="M54" sqref="M54"/>
    </sheetView>
  </sheetViews>
  <sheetFormatPr defaultRowHeight="14.4" outlineLevelRow="1" x14ac:dyDescent="0.3"/>
  <cols>
    <col min="1" max="1" width="2" bestFit="1" customWidth="1"/>
    <col min="2" max="2" width="48.5546875" customWidth="1"/>
    <col min="3" max="3" width="5.6640625" customWidth="1"/>
    <col min="4" max="8" width="19" customWidth="1"/>
    <col min="9" max="9" width="40" customWidth="1"/>
    <col min="10" max="10" width="2" bestFit="1" customWidth="1"/>
    <col min="11" max="11" width="1.88671875" bestFit="1" customWidth="1"/>
  </cols>
  <sheetData>
    <row r="2" spans="2:10" ht="18" x14ac:dyDescent="0.35">
      <c r="B2" s="26" t="s">
        <v>0</v>
      </c>
      <c r="C2" s="25"/>
      <c r="D2" s="25"/>
      <c r="E2" s="25"/>
      <c r="F2" s="25"/>
      <c r="G2" s="25"/>
      <c r="H2" s="25"/>
      <c r="I2" s="25"/>
      <c r="J2" s="25" t="s">
        <v>114</v>
      </c>
    </row>
    <row r="3" spans="2:10" x14ac:dyDescent="0.3">
      <c r="B3" s="27" t="s">
        <v>1</v>
      </c>
      <c r="C3" s="25"/>
      <c r="D3" s="25"/>
      <c r="E3" s="25"/>
      <c r="F3" s="25"/>
      <c r="G3" s="25"/>
      <c r="H3" s="25"/>
      <c r="I3" s="25"/>
      <c r="J3" s="25" t="s">
        <v>114</v>
      </c>
    </row>
    <row r="4" spans="2:10" x14ac:dyDescent="0.3">
      <c r="B4" s="33"/>
    </row>
    <row r="5" spans="2:10" x14ac:dyDescent="0.3">
      <c r="B5" s="33" t="s">
        <v>122</v>
      </c>
      <c r="D5" s="54" t="s">
        <v>120</v>
      </c>
    </row>
    <row r="6" spans="2:10" hidden="1" outlineLevel="1" x14ac:dyDescent="0.3">
      <c r="B6" s="33"/>
      <c r="D6" t="s">
        <v>119</v>
      </c>
    </row>
    <row r="7" spans="2:10" hidden="1" outlineLevel="1" x14ac:dyDescent="0.3">
      <c r="B7" s="33"/>
      <c r="D7" t="s">
        <v>120</v>
      </c>
    </row>
    <row r="8" spans="2:10" hidden="1" outlineLevel="1" x14ac:dyDescent="0.3">
      <c r="B8" s="33"/>
      <c r="D8" t="s">
        <v>121</v>
      </c>
    </row>
    <row r="9" spans="2:10" collapsed="1" x14ac:dyDescent="0.3">
      <c r="B9" s="33"/>
    </row>
    <row r="11" spans="2:10" x14ac:dyDescent="0.3">
      <c r="B11" s="24" t="s">
        <v>2</v>
      </c>
      <c r="C11" s="25"/>
      <c r="D11" s="25"/>
      <c r="E11" s="25"/>
      <c r="F11" s="25"/>
      <c r="G11" s="25"/>
      <c r="H11" s="25"/>
      <c r="I11" s="25"/>
      <c r="J11" s="25" t="s">
        <v>114</v>
      </c>
    </row>
    <row r="12" spans="2:10" x14ac:dyDescent="0.3">
      <c r="B12" s="1" t="s">
        <v>3</v>
      </c>
      <c r="D12" s="23">
        <v>1</v>
      </c>
      <c r="E12" s="22">
        <f>D12+1</f>
        <v>2</v>
      </c>
      <c r="F12" s="22">
        <f t="shared" ref="F12:H12" si="0">E12+1</f>
        <v>3</v>
      </c>
      <c r="G12" s="22">
        <f t="shared" si="0"/>
        <v>4</v>
      </c>
      <c r="H12" s="22">
        <f t="shared" si="0"/>
        <v>5</v>
      </c>
    </row>
    <row r="14" spans="2:10" x14ac:dyDescent="0.3">
      <c r="B14" s="24" t="s">
        <v>4</v>
      </c>
      <c r="C14" s="25"/>
      <c r="D14" s="25"/>
      <c r="E14" s="25"/>
      <c r="F14" s="25"/>
      <c r="G14" s="25"/>
      <c r="H14" s="25"/>
      <c r="I14" s="25"/>
      <c r="J14" s="25" t="s">
        <v>114</v>
      </c>
    </row>
    <row r="15" spans="2:10" x14ac:dyDescent="0.3">
      <c r="B15" s="3" t="s">
        <v>115</v>
      </c>
      <c r="D15" s="4">
        <v>3</v>
      </c>
      <c r="E15" s="4">
        <v>4</v>
      </c>
      <c r="F15" s="4">
        <v>5</v>
      </c>
      <c r="G15" s="4">
        <v>5</v>
      </c>
      <c r="H15" s="4">
        <v>5</v>
      </c>
      <c r="I15" s="5" t="s">
        <v>5</v>
      </c>
    </row>
    <row r="16" spans="2:10" x14ac:dyDescent="0.3">
      <c r="B16" t="s">
        <v>116</v>
      </c>
      <c r="D16" s="4">
        <v>3</v>
      </c>
      <c r="E16" s="4">
        <v>4</v>
      </c>
      <c r="F16" s="4">
        <v>5</v>
      </c>
      <c r="G16" s="4">
        <v>5</v>
      </c>
      <c r="H16" s="4">
        <v>5</v>
      </c>
      <c r="I16" s="5" t="s">
        <v>6</v>
      </c>
    </row>
    <row r="17" spans="2:10" x14ac:dyDescent="0.3">
      <c r="B17" s="1" t="s">
        <v>7</v>
      </c>
      <c r="D17" s="2">
        <f>D15*D16</f>
        <v>9</v>
      </c>
      <c r="E17" s="2">
        <f>E15*E16</f>
        <v>16</v>
      </c>
      <c r="F17" s="2">
        <f>F15*F16</f>
        <v>25</v>
      </c>
      <c r="G17" s="2">
        <f>G15*G16</f>
        <v>25</v>
      </c>
      <c r="H17" s="2">
        <f>H15*H16</f>
        <v>25</v>
      </c>
    </row>
    <row r="18" spans="2:10" x14ac:dyDescent="0.3">
      <c r="B18" t="s">
        <v>8</v>
      </c>
      <c r="D18" s="4">
        <v>1</v>
      </c>
      <c r="E18" s="4">
        <v>1</v>
      </c>
      <c r="F18" s="4">
        <v>2</v>
      </c>
      <c r="G18" s="4">
        <v>2</v>
      </c>
      <c r="H18" s="4">
        <v>2</v>
      </c>
      <c r="I18" s="5" t="s">
        <v>9</v>
      </c>
    </row>
    <row r="19" spans="2:10" x14ac:dyDescent="0.3">
      <c r="B19" t="s">
        <v>10</v>
      </c>
      <c r="D19" s="4">
        <v>1</v>
      </c>
      <c r="E19" s="4">
        <v>1</v>
      </c>
      <c r="F19" s="4">
        <v>2</v>
      </c>
      <c r="G19" s="4">
        <v>2</v>
      </c>
      <c r="H19" s="4">
        <v>2</v>
      </c>
      <c r="I19" s="5" t="s">
        <v>11</v>
      </c>
    </row>
    <row r="20" spans="2:10" x14ac:dyDescent="0.3">
      <c r="B20" s="1" t="s">
        <v>12</v>
      </c>
      <c r="D20" s="2">
        <f>D17+D18+D19</f>
        <v>11</v>
      </c>
      <c r="E20" s="2">
        <f>E17+E18+E19</f>
        <v>18</v>
      </c>
      <c r="F20" s="2">
        <f>F17+F18+F19</f>
        <v>29</v>
      </c>
      <c r="G20" s="2">
        <f>G17+G18+G19</f>
        <v>29</v>
      </c>
      <c r="H20" s="2">
        <f>H17+H18+H19</f>
        <v>29</v>
      </c>
    </row>
    <row r="21" spans="2:10" x14ac:dyDescent="0.3">
      <c r="B21" s="1" t="s">
        <v>13</v>
      </c>
      <c r="D21" s="2">
        <f>D17+D20</f>
        <v>20</v>
      </c>
      <c r="E21" s="2">
        <f>E17+E20</f>
        <v>34</v>
      </c>
      <c r="F21" s="2">
        <f>F17+F20</f>
        <v>54</v>
      </c>
      <c r="G21" s="2">
        <f>G17+G20</f>
        <v>54</v>
      </c>
      <c r="H21" s="2">
        <f>H17+H20</f>
        <v>54</v>
      </c>
    </row>
    <row r="23" spans="2:10" x14ac:dyDescent="0.3">
      <c r="B23" s="24" t="s">
        <v>14</v>
      </c>
      <c r="C23" s="25"/>
      <c r="D23" s="25"/>
      <c r="E23" s="25"/>
      <c r="F23" s="25"/>
      <c r="G23" s="25"/>
      <c r="H23" s="25"/>
      <c r="I23" s="25"/>
      <c r="J23" s="25" t="s">
        <v>114</v>
      </c>
    </row>
    <row r="24" spans="2:10" x14ac:dyDescent="0.3">
      <c r="B24" t="s">
        <v>15</v>
      </c>
      <c r="C24" s="6"/>
      <c r="D24" s="9">
        <f>_xlfn.XLOOKUP($D$5,$D$6:$D$8,D25:D27)</f>
        <v>32760</v>
      </c>
      <c r="I24" s="5" t="s">
        <v>16</v>
      </c>
    </row>
    <row r="25" spans="2:10" x14ac:dyDescent="0.3">
      <c r="B25" s="34" t="s">
        <v>119</v>
      </c>
      <c r="C25" s="35"/>
      <c r="D25" s="36">
        <f>17*7*260</f>
        <v>30940</v>
      </c>
      <c r="I25" s="5"/>
    </row>
    <row r="26" spans="2:10" x14ac:dyDescent="0.3">
      <c r="B26" s="37" t="s">
        <v>120</v>
      </c>
      <c r="C26" s="6"/>
      <c r="D26" s="38">
        <f>18*7*260</f>
        <v>32760</v>
      </c>
      <c r="I26" s="5"/>
    </row>
    <row r="27" spans="2:10" x14ac:dyDescent="0.3">
      <c r="B27" s="39" t="s">
        <v>121</v>
      </c>
      <c r="C27" s="40"/>
      <c r="D27" s="41">
        <f>19*7*260</f>
        <v>34580</v>
      </c>
      <c r="I27" s="5"/>
    </row>
    <row r="28" spans="2:10" x14ac:dyDescent="0.3">
      <c r="B28" t="s">
        <v>17</v>
      </c>
      <c r="C28" s="6"/>
      <c r="D28" s="9">
        <f>_xlfn.XLOOKUP($D$5,$D$6:$D$8,D29:D31)</f>
        <v>41860</v>
      </c>
    </row>
    <row r="29" spans="2:10" x14ac:dyDescent="0.3">
      <c r="B29" s="34" t="s">
        <v>119</v>
      </c>
      <c r="C29" s="35"/>
      <c r="D29" s="36">
        <f>22*7*260</f>
        <v>40040</v>
      </c>
      <c r="I29" s="5"/>
    </row>
    <row r="30" spans="2:10" x14ac:dyDescent="0.3">
      <c r="B30" s="37" t="s">
        <v>120</v>
      </c>
      <c r="C30" s="6"/>
      <c r="D30" s="38">
        <f>23*7*260</f>
        <v>41860</v>
      </c>
      <c r="I30" s="5"/>
    </row>
    <row r="31" spans="2:10" x14ac:dyDescent="0.3">
      <c r="B31" s="39" t="s">
        <v>121</v>
      </c>
      <c r="C31" s="40"/>
      <c r="D31" s="41">
        <f>24*7*260</f>
        <v>43680</v>
      </c>
      <c r="I31" s="5"/>
    </row>
    <row r="32" spans="2:10" x14ac:dyDescent="0.3">
      <c r="B32" t="s">
        <v>18</v>
      </c>
      <c r="C32" s="6"/>
      <c r="D32" s="7">
        <f>D28/2</f>
        <v>20930</v>
      </c>
      <c r="I32" s="5" t="s">
        <v>19</v>
      </c>
    </row>
    <row r="33" spans="2:10" x14ac:dyDescent="0.3">
      <c r="B33" t="s">
        <v>20</v>
      </c>
      <c r="C33" s="6"/>
      <c r="D33" s="8">
        <v>0.25</v>
      </c>
      <c r="I33" s="5" t="s">
        <v>21</v>
      </c>
    </row>
    <row r="34" spans="2:10" x14ac:dyDescent="0.3">
      <c r="B34" t="s">
        <v>22</v>
      </c>
      <c r="C34" s="6"/>
      <c r="D34" s="8">
        <v>0.03</v>
      </c>
      <c r="I34" s="5" t="s">
        <v>23</v>
      </c>
    </row>
    <row r="35" spans="2:10" x14ac:dyDescent="0.3">
      <c r="B35" s="1" t="s">
        <v>24</v>
      </c>
      <c r="C35" s="6"/>
      <c r="D35" s="9">
        <f>D24</f>
        <v>32760</v>
      </c>
      <c r="E35" s="9">
        <f t="shared" ref="E35:H37" si="1">D35*(1+$D$34)</f>
        <v>33742.800000000003</v>
      </c>
      <c r="F35" s="9">
        <f t="shared" si="1"/>
        <v>34755.084000000003</v>
      </c>
      <c r="G35" s="9">
        <f t="shared" si="1"/>
        <v>35797.736520000006</v>
      </c>
      <c r="H35" s="9">
        <f t="shared" si="1"/>
        <v>36871.668615600007</v>
      </c>
    </row>
    <row r="36" spans="2:10" x14ac:dyDescent="0.3">
      <c r="B36" s="1" t="s">
        <v>25</v>
      </c>
      <c r="C36" s="6"/>
      <c r="D36" s="9">
        <f>D28</f>
        <v>41860</v>
      </c>
      <c r="E36" s="9">
        <f t="shared" si="1"/>
        <v>43115.8</v>
      </c>
      <c r="F36" s="9">
        <f t="shared" si="1"/>
        <v>44409.274000000005</v>
      </c>
      <c r="G36" s="9">
        <f t="shared" si="1"/>
        <v>45741.552220000005</v>
      </c>
      <c r="H36" s="9">
        <f t="shared" si="1"/>
        <v>47113.798786600004</v>
      </c>
    </row>
    <row r="37" spans="2:10" x14ac:dyDescent="0.3">
      <c r="B37" s="1" t="s">
        <v>26</v>
      </c>
      <c r="C37" s="6"/>
      <c r="D37" s="9">
        <f>D32</f>
        <v>20930</v>
      </c>
      <c r="E37" s="9">
        <f t="shared" si="1"/>
        <v>21557.9</v>
      </c>
      <c r="F37" s="9">
        <f t="shared" si="1"/>
        <v>22204.637000000002</v>
      </c>
      <c r="G37" s="9">
        <f t="shared" si="1"/>
        <v>22870.776110000003</v>
      </c>
      <c r="H37" s="9">
        <f t="shared" si="1"/>
        <v>23556.899393300002</v>
      </c>
    </row>
    <row r="39" spans="2:10" x14ac:dyDescent="0.3">
      <c r="B39" s="24" t="s">
        <v>27</v>
      </c>
      <c r="C39" s="25"/>
      <c r="D39" s="25"/>
      <c r="E39" s="25"/>
      <c r="F39" s="25"/>
      <c r="G39" s="25"/>
      <c r="H39" s="25"/>
      <c r="I39" s="25"/>
      <c r="J39" s="25" t="s">
        <v>114</v>
      </c>
    </row>
    <row r="40" spans="2:10" x14ac:dyDescent="0.3">
      <c r="B40" s="1" t="s">
        <v>117</v>
      </c>
      <c r="C40" s="6"/>
      <c r="D40" s="9">
        <f>_xlfn.XLOOKUP($D$5,$D$6:$D$8,D41:D43)</f>
        <v>15750</v>
      </c>
      <c r="I40" s="5" t="s">
        <v>28</v>
      </c>
    </row>
    <row r="41" spans="2:10" x14ac:dyDescent="0.3">
      <c r="B41" s="34" t="s">
        <v>119</v>
      </c>
      <c r="C41" s="35"/>
      <c r="D41" s="36">
        <v>15000</v>
      </c>
      <c r="I41" s="5"/>
    </row>
    <row r="42" spans="2:10" x14ac:dyDescent="0.3">
      <c r="B42" s="37" t="s">
        <v>120</v>
      </c>
      <c r="C42" s="6"/>
      <c r="D42" s="38">
        <f>D41*1.05</f>
        <v>15750</v>
      </c>
      <c r="I42" s="5"/>
    </row>
    <row r="43" spans="2:10" x14ac:dyDescent="0.3">
      <c r="B43" s="39" t="s">
        <v>121</v>
      </c>
      <c r="C43" s="40"/>
      <c r="D43" s="41">
        <f>D42*1.05</f>
        <v>16537.5</v>
      </c>
      <c r="I43" s="5"/>
    </row>
    <row r="44" spans="2:10" x14ac:dyDescent="0.3">
      <c r="B44" s="1" t="s">
        <v>29</v>
      </c>
      <c r="C44" s="6"/>
      <c r="D44" s="9">
        <f>_xlfn.XLOOKUP($D$5,$D$6:$D$8,D45:D47)</f>
        <v>10500</v>
      </c>
      <c r="I44" s="5" t="s">
        <v>30</v>
      </c>
    </row>
    <row r="45" spans="2:10" x14ac:dyDescent="0.3">
      <c r="B45" s="34" t="s">
        <v>119</v>
      </c>
      <c r="C45" s="35"/>
      <c r="D45" s="36">
        <v>10000</v>
      </c>
      <c r="I45" s="5"/>
    </row>
    <row r="46" spans="2:10" x14ac:dyDescent="0.3">
      <c r="B46" s="37" t="s">
        <v>120</v>
      </c>
      <c r="C46" s="6"/>
      <c r="D46" s="38">
        <f>D45*1.05</f>
        <v>10500</v>
      </c>
      <c r="I46" s="5"/>
    </row>
    <row r="47" spans="2:10" x14ac:dyDescent="0.3">
      <c r="B47" s="39" t="s">
        <v>121</v>
      </c>
      <c r="C47" s="40"/>
      <c r="D47" s="41">
        <f>D46*1.05</f>
        <v>11025</v>
      </c>
      <c r="I47" s="5"/>
    </row>
    <row r="48" spans="2:10" x14ac:dyDescent="0.3">
      <c r="B48" s="1" t="s">
        <v>31</v>
      </c>
      <c r="C48" s="6"/>
      <c r="D48" s="9">
        <f>_xlfn.XLOOKUP($D$5,$D$6:$D$8,D49:D51)</f>
        <v>1050</v>
      </c>
      <c r="I48" s="5" t="s">
        <v>32</v>
      </c>
    </row>
    <row r="49" spans="2:10" x14ac:dyDescent="0.3">
      <c r="B49" s="34" t="s">
        <v>119</v>
      </c>
      <c r="C49" s="35"/>
      <c r="D49" s="36">
        <v>1000</v>
      </c>
      <c r="I49" s="5"/>
    </row>
    <row r="50" spans="2:10" x14ac:dyDescent="0.3">
      <c r="B50" s="37" t="s">
        <v>120</v>
      </c>
      <c r="C50" s="6"/>
      <c r="D50" s="38">
        <f>D49*1.05</f>
        <v>1050</v>
      </c>
      <c r="I50" s="5"/>
    </row>
    <row r="51" spans="2:10" x14ac:dyDescent="0.3">
      <c r="B51" s="39" t="s">
        <v>121</v>
      </c>
      <c r="C51" s="40"/>
      <c r="D51" s="41">
        <f>D50*1.05</f>
        <v>1102.5</v>
      </c>
      <c r="I51" s="5"/>
    </row>
    <row r="52" spans="2:10" x14ac:dyDescent="0.3">
      <c r="B52" s="1" t="s">
        <v>118</v>
      </c>
      <c r="C52" s="6"/>
      <c r="D52" s="9">
        <f>_xlfn.XLOOKUP($D$5,$D$6:$D$8,D53:D55)</f>
        <v>5250</v>
      </c>
      <c r="I52" s="5" t="s">
        <v>33</v>
      </c>
    </row>
    <row r="53" spans="2:10" x14ac:dyDescent="0.3">
      <c r="B53" s="34" t="s">
        <v>119</v>
      </c>
      <c r="C53" s="35"/>
      <c r="D53" s="36">
        <v>5000</v>
      </c>
      <c r="I53" s="5"/>
    </row>
    <row r="54" spans="2:10" x14ac:dyDescent="0.3">
      <c r="B54" s="37" t="s">
        <v>120</v>
      </c>
      <c r="C54" s="6"/>
      <c r="D54" s="38">
        <f>D53*1.05</f>
        <v>5250</v>
      </c>
      <c r="I54" s="5"/>
    </row>
    <row r="55" spans="2:10" x14ac:dyDescent="0.3">
      <c r="B55" s="39" t="s">
        <v>121</v>
      </c>
      <c r="C55" s="40"/>
      <c r="D55" s="41">
        <f>D54*1.05</f>
        <v>5512.5</v>
      </c>
      <c r="I55" s="5"/>
    </row>
    <row r="56" spans="2:10" x14ac:dyDescent="0.3">
      <c r="B56" s="1" t="s">
        <v>34</v>
      </c>
      <c r="C56" s="6"/>
      <c r="D56" s="8">
        <v>0.02</v>
      </c>
      <c r="I56" s="5" t="s">
        <v>35</v>
      </c>
    </row>
    <row r="57" spans="2:10" x14ac:dyDescent="0.3">
      <c r="B57" s="1" t="s">
        <v>36</v>
      </c>
      <c r="C57" s="6"/>
      <c r="D57" s="9">
        <f>_xlfn.XLOOKUP($D$5,$D$6:$D$8,D58:D60)</f>
        <v>15750</v>
      </c>
      <c r="I57" s="5" t="s">
        <v>37</v>
      </c>
    </row>
    <row r="58" spans="2:10" x14ac:dyDescent="0.3">
      <c r="B58" s="34" t="s">
        <v>119</v>
      </c>
      <c r="C58" s="35"/>
      <c r="D58" s="36">
        <v>15000</v>
      </c>
      <c r="I58" s="5"/>
    </row>
    <row r="59" spans="2:10" x14ac:dyDescent="0.3">
      <c r="B59" s="37" t="s">
        <v>120</v>
      </c>
      <c r="C59" s="6"/>
      <c r="D59" s="38">
        <f>D58*1.05</f>
        <v>15750</v>
      </c>
      <c r="I59" s="5"/>
    </row>
    <row r="60" spans="2:10" x14ac:dyDescent="0.3">
      <c r="B60" s="39" t="s">
        <v>121</v>
      </c>
      <c r="C60" s="40"/>
      <c r="D60" s="41">
        <f>D59*1.05</f>
        <v>16537.5</v>
      </c>
      <c r="I60" s="5"/>
    </row>
    <row r="62" spans="2:10" x14ac:dyDescent="0.3">
      <c r="B62" s="24" t="s">
        <v>38</v>
      </c>
      <c r="C62" s="25"/>
      <c r="D62" s="25"/>
      <c r="E62" s="25"/>
      <c r="F62" s="25"/>
      <c r="G62" s="25"/>
      <c r="H62" s="25"/>
      <c r="I62" s="25"/>
      <c r="J62" s="25" t="s">
        <v>114</v>
      </c>
    </row>
    <row r="63" spans="2:10" x14ac:dyDescent="0.3">
      <c r="B63" s="1" t="s">
        <v>39</v>
      </c>
      <c r="D63" s="2" t="s">
        <v>40</v>
      </c>
      <c r="E63" s="2" t="s">
        <v>41</v>
      </c>
      <c r="I63" s="10" t="s">
        <v>42</v>
      </c>
    </row>
    <row r="64" spans="2:10" x14ac:dyDescent="0.3">
      <c r="B64" s="1" t="s">
        <v>43</v>
      </c>
      <c r="D64" s="9">
        <f>_xlfn.XLOOKUP($D$5,$D$6:$D$8,D65:D67)</f>
        <v>600000</v>
      </c>
      <c r="E64" s="8">
        <v>0.2</v>
      </c>
      <c r="I64" s="5" t="s">
        <v>102</v>
      </c>
    </row>
    <row r="65" spans="2:9" x14ac:dyDescent="0.3">
      <c r="B65" s="34" t="s">
        <v>119</v>
      </c>
      <c r="C65" s="35"/>
      <c r="D65" s="36">
        <f>D66*1.2</f>
        <v>720000</v>
      </c>
      <c r="I65" s="5"/>
    </row>
    <row r="66" spans="2:9" x14ac:dyDescent="0.3">
      <c r="B66" s="37" t="s">
        <v>120</v>
      </c>
      <c r="C66" s="6"/>
      <c r="D66" s="38">
        <f>D67*1.2</f>
        <v>600000</v>
      </c>
      <c r="I66" s="5"/>
    </row>
    <row r="67" spans="2:9" x14ac:dyDescent="0.3">
      <c r="B67" s="39" t="s">
        <v>121</v>
      </c>
      <c r="C67" s="40"/>
      <c r="D67" s="41">
        <v>500000</v>
      </c>
      <c r="I67" s="5"/>
    </row>
    <row r="68" spans="2:9" x14ac:dyDescent="0.3">
      <c r="B68" s="1" t="s">
        <v>44</v>
      </c>
      <c r="D68" s="9">
        <f>_xlfn.XLOOKUP($D$5,$D$6:$D$8,D69:D71)</f>
        <v>240000</v>
      </c>
      <c r="E68" s="8">
        <v>0.15</v>
      </c>
      <c r="I68" s="5" t="s">
        <v>45</v>
      </c>
    </row>
    <row r="69" spans="2:9" x14ac:dyDescent="0.3">
      <c r="B69" s="34" t="s">
        <v>119</v>
      </c>
      <c r="C69" s="35"/>
      <c r="D69" s="36">
        <f>D70*1.2</f>
        <v>288000</v>
      </c>
      <c r="I69" s="5"/>
    </row>
    <row r="70" spans="2:9" x14ac:dyDescent="0.3">
      <c r="B70" s="37" t="s">
        <v>120</v>
      </c>
      <c r="C70" s="6"/>
      <c r="D70" s="38">
        <f>D71*1.2</f>
        <v>240000</v>
      </c>
      <c r="I70" s="5"/>
    </row>
    <row r="71" spans="2:9" x14ac:dyDescent="0.3">
      <c r="B71" s="39" t="s">
        <v>121</v>
      </c>
      <c r="C71" s="40"/>
      <c r="D71" s="41">
        <v>200000</v>
      </c>
      <c r="I71" s="5"/>
    </row>
    <row r="72" spans="2:9" x14ac:dyDescent="0.3">
      <c r="B72" s="1" t="s">
        <v>46</v>
      </c>
      <c r="D72" s="9">
        <f>_xlfn.XLOOKUP($D$5,$D$6:$D$8,D73:D75)</f>
        <v>55000.000000000007</v>
      </c>
      <c r="E72" s="8">
        <v>0.3</v>
      </c>
      <c r="I72" s="5" t="s">
        <v>47</v>
      </c>
    </row>
    <row r="73" spans="2:9" x14ac:dyDescent="0.3">
      <c r="B73" s="34" t="s">
        <v>119</v>
      </c>
      <c r="C73" s="35"/>
      <c r="D73" s="36">
        <f>D74*1.1</f>
        <v>60500.000000000015</v>
      </c>
      <c r="I73" s="5"/>
    </row>
    <row r="74" spans="2:9" x14ac:dyDescent="0.3">
      <c r="B74" s="37" t="s">
        <v>120</v>
      </c>
      <c r="C74" s="6"/>
      <c r="D74" s="38">
        <f>D75*1.1</f>
        <v>55000.000000000007</v>
      </c>
      <c r="I74" s="5"/>
    </row>
    <row r="75" spans="2:9" x14ac:dyDescent="0.3">
      <c r="B75" s="39" t="s">
        <v>121</v>
      </c>
      <c r="C75" s="40"/>
      <c r="D75" s="41">
        <v>50000</v>
      </c>
      <c r="I75" s="5"/>
    </row>
    <row r="76" spans="2:9" x14ac:dyDescent="0.3">
      <c r="B76" s="1" t="s">
        <v>48</v>
      </c>
      <c r="D76" s="9">
        <f>_xlfn.XLOOKUP($D$5,$D$6:$D$8,D77:D79)</f>
        <v>55000.000000000007</v>
      </c>
      <c r="E76" s="8">
        <v>0.15</v>
      </c>
      <c r="I76" s="5" t="s">
        <v>49</v>
      </c>
    </row>
    <row r="77" spans="2:9" x14ac:dyDescent="0.3">
      <c r="B77" s="34" t="s">
        <v>119</v>
      </c>
      <c r="C77" s="35"/>
      <c r="D77" s="36">
        <f>D78*1.1</f>
        <v>60500.000000000015</v>
      </c>
      <c r="I77" s="5"/>
    </row>
    <row r="78" spans="2:9" x14ac:dyDescent="0.3">
      <c r="B78" s="37" t="s">
        <v>120</v>
      </c>
      <c r="C78" s="6"/>
      <c r="D78" s="38">
        <f>D79*1.1</f>
        <v>55000.000000000007</v>
      </c>
      <c r="I78" s="5"/>
    </row>
    <row r="79" spans="2:9" x14ac:dyDescent="0.3">
      <c r="B79" s="39" t="s">
        <v>121</v>
      </c>
      <c r="C79" s="40"/>
      <c r="D79" s="41">
        <v>50000</v>
      </c>
      <c r="I79" s="5"/>
    </row>
    <row r="80" spans="2:9" x14ac:dyDescent="0.3">
      <c r="B80" s="1" t="s">
        <v>50</v>
      </c>
      <c r="D80" s="7">
        <v>20000</v>
      </c>
      <c r="E80" s="8">
        <v>0.05</v>
      </c>
      <c r="I80" s="5" t="s">
        <v>51</v>
      </c>
    </row>
    <row r="82" spans="2:10" x14ac:dyDescent="0.3">
      <c r="B82" s="24" t="s">
        <v>52</v>
      </c>
      <c r="C82" s="25"/>
      <c r="D82" s="25"/>
      <c r="E82" s="25"/>
      <c r="F82" s="25"/>
      <c r="G82" s="25"/>
      <c r="H82" s="25"/>
      <c r="I82" s="25"/>
      <c r="J82" s="25" t="s">
        <v>114</v>
      </c>
    </row>
    <row r="83" spans="2:10" x14ac:dyDescent="0.3">
      <c r="B83" s="1" t="s">
        <v>53</v>
      </c>
      <c r="D83" s="45">
        <f>_xlfn.XLOOKUP($D$5,$D$6:$D$8,D84:D86)</f>
        <v>0.1</v>
      </c>
      <c r="I83" s="5" t="s">
        <v>54</v>
      </c>
    </row>
    <row r="84" spans="2:10" x14ac:dyDescent="0.3">
      <c r="B84" s="34" t="s">
        <v>119</v>
      </c>
      <c r="C84" s="35"/>
      <c r="D84" s="42">
        <v>0.05</v>
      </c>
      <c r="I84" s="5"/>
    </row>
    <row r="85" spans="2:10" x14ac:dyDescent="0.3">
      <c r="B85" s="37" t="s">
        <v>120</v>
      </c>
      <c r="C85" s="6"/>
      <c r="D85" s="43">
        <v>0.1</v>
      </c>
      <c r="I85" s="5"/>
    </row>
    <row r="86" spans="2:10" x14ac:dyDescent="0.3">
      <c r="B86" s="39" t="s">
        <v>121</v>
      </c>
      <c r="C86" s="40"/>
      <c r="D86" s="44">
        <v>0.15</v>
      </c>
      <c r="I86" s="5"/>
    </row>
    <row r="87" spans="2:10" x14ac:dyDescent="0.3">
      <c r="B87" s="1" t="s">
        <v>55</v>
      </c>
      <c r="D87" s="8">
        <v>0.12</v>
      </c>
      <c r="I87" s="5" t="s">
        <v>56</v>
      </c>
    </row>
    <row r="88" spans="2:10" x14ac:dyDescent="0.3">
      <c r="B88" s="1" t="s">
        <v>57</v>
      </c>
      <c r="D88" s="7">
        <v>5000</v>
      </c>
      <c r="E88" s="7">
        <v>10000</v>
      </c>
      <c r="F88" s="7">
        <v>15000</v>
      </c>
      <c r="G88" s="7">
        <v>18000</v>
      </c>
      <c r="H88" s="7">
        <v>20000</v>
      </c>
      <c r="I88" s="5" t="s">
        <v>58</v>
      </c>
    </row>
  </sheetData>
  <dataValidations count="1">
    <dataValidation type="list" allowBlank="1" showInputMessage="1" showErrorMessage="1" sqref="D5" xr:uid="{82D9CEA2-FC05-474F-8CC4-5D5A69218EE2}">
      <formula1>$D$6:$D$8</formula1>
    </dataValidation>
  </dataValidations>
  <pageMargins left="0.7" right="0.7" top="0.75" bottom="0.75" header="0.3" footer="0.3"/>
  <pageSetup orientation="portrait" r:id="rId1"/>
  <ignoredErrors>
    <ignoredError sqref="D8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4D06-74FC-42CB-8421-1F9ECFA0E7FA}">
  <dimension ref="B2:J64"/>
  <sheetViews>
    <sheetView showGridLines="0" tabSelected="1" zoomScale="85" zoomScaleNormal="85" workbookViewId="0">
      <pane ySplit="7" topLeftCell="A8" activePane="bottomLeft" state="frozen"/>
      <selection pane="bottomLeft" sqref="A1:K41"/>
    </sheetView>
  </sheetViews>
  <sheetFormatPr defaultRowHeight="14.4" x14ac:dyDescent="0.3"/>
  <cols>
    <col min="1" max="1" width="2" bestFit="1" customWidth="1"/>
    <col min="2" max="2" width="43.88671875" customWidth="1"/>
    <col min="3" max="3" width="1.88671875" customWidth="1"/>
    <col min="4" max="8" width="20" customWidth="1"/>
    <col min="9" max="9" width="41.88671875" customWidth="1"/>
    <col min="10" max="10" width="2" bestFit="1" customWidth="1"/>
    <col min="11" max="11" width="1.88671875" bestFit="1" customWidth="1"/>
  </cols>
  <sheetData>
    <row r="2" spans="2:10" ht="18" x14ac:dyDescent="0.35">
      <c r="B2" s="26" t="s">
        <v>0</v>
      </c>
      <c r="C2" s="25"/>
      <c r="D2" s="25"/>
      <c r="E2" s="25"/>
      <c r="F2" s="25"/>
      <c r="G2" s="25"/>
      <c r="H2" s="25"/>
      <c r="I2" s="25"/>
      <c r="J2" s="25" t="s">
        <v>114</v>
      </c>
    </row>
    <row r="3" spans="2:10" x14ac:dyDescent="0.3">
      <c r="B3" s="27" t="s">
        <v>59</v>
      </c>
      <c r="C3" s="25"/>
      <c r="D3" s="25"/>
      <c r="E3" s="25"/>
      <c r="F3" s="25"/>
      <c r="G3" s="25"/>
      <c r="H3" s="25"/>
      <c r="I3" s="25"/>
      <c r="J3" s="25" t="s">
        <v>114</v>
      </c>
    </row>
    <row r="4" spans="2:10" x14ac:dyDescent="0.3">
      <c r="B4" s="32"/>
    </row>
    <row r="5" spans="2:10" x14ac:dyDescent="0.3">
      <c r="B5" s="51" t="s">
        <v>123</v>
      </c>
      <c r="C5" s="52"/>
      <c r="D5" s="53" t="str">
        <f>Assumptions!D5</f>
        <v>Base</v>
      </c>
    </row>
    <row r="7" spans="2:10" x14ac:dyDescent="0.3">
      <c r="B7" s="24"/>
      <c r="C7" s="28"/>
      <c r="D7" s="29">
        <f>Assumptions!D12</f>
        <v>1</v>
      </c>
      <c r="E7" s="29">
        <f>Assumptions!E12</f>
        <v>2</v>
      </c>
      <c r="F7" s="29">
        <f>Assumptions!F12</f>
        <v>3</v>
      </c>
      <c r="G7" s="29">
        <f>Assumptions!G12</f>
        <v>4</v>
      </c>
      <c r="H7" s="29">
        <f>Assumptions!H12</f>
        <v>5</v>
      </c>
      <c r="I7" s="30" t="s">
        <v>42</v>
      </c>
      <c r="J7" s="25"/>
    </row>
    <row r="8" spans="2:10" x14ac:dyDescent="0.3">
      <c r="B8" s="27" t="s">
        <v>60</v>
      </c>
      <c r="C8" s="25"/>
      <c r="D8" s="25"/>
      <c r="E8" s="25"/>
      <c r="F8" s="25"/>
      <c r="G8" s="25"/>
      <c r="H8" s="25"/>
      <c r="I8" s="25"/>
      <c r="J8" s="25" t="s">
        <v>114</v>
      </c>
    </row>
    <row r="9" spans="2:10" x14ac:dyDescent="0.3">
      <c r="B9" t="s">
        <v>61</v>
      </c>
      <c r="D9" s="11">
        <f>Assumptions!D15</f>
        <v>3</v>
      </c>
      <c r="E9" s="11">
        <f>Assumptions!E15</f>
        <v>4</v>
      </c>
      <c r="F9" s="11">
        <f>Assumptions!F15</f>
        <v>5</v>
      </c>
      <c r="G9" s="11">
        <f>Assumptions!G15</f>
        <v>5</v>
      </c>
      <c r="H9" s="11">
        <f>Assumptions!H15</f>
        <v>5</v>
      </c>
    </row>
    <row r="10" spans="2:10" x14ac:dyDescent="0.3">
      <c r="B10" t="s">
        <v>62</v>
      </c>
      <c r="D10" s="11">
        <f>Assumptions!D17</f>
        <v>9</v>
      </c>
      <c r="E10" s="11">
        <f>Assumptions!E17</f>
        <v>16</v>
      </c>
      <c r="F10" s="11">
        <f>Assumptions!F17</f>
        <v>25</v>
      </c>
      <c r="G10" s="11">
        <f>Assumptions!G17</f>
        <v>25</v>
      </c>
      <c r="H10" s="11">
        <f>Assumptions!H17</f>
        <v>25</v>
      </c>
    </row>
    <row r="11" spans="2:10" x14ac:dyDescent="0.3">
      <c r="B11" t="s">
        <v>63</v>
      </c>
      <c r="D11" s="11">
        <f>Assumptions!D21</f>
        <v>20</v>
      </c>
      <c r="E11" s="11">
        <f>Assumptions!E21</f>
        <v>34</v>
      </c>
      <c r="F11" s="11">
        <f>Assumptions!F21</f>
        <v>54</v>
      </c>
      <c r="G11" s="11">
        <f>Assumptions!G21</f>
        <v>54</v>
      </c>
      <c r="H11" s="11">
        <f>Assumptions!H21</f>
        <v>54</v>
      </c>
    </row>
    <row r="13" spans="2:10" x14ac:dyDescent="0.3">
      <c r="B13" s="27" t="s">
        <v>64</v>
      </c>
      <c r="C13" s="25"/>
      <c r="D13" s="25"/>
      <c r="E13" s="25"/>
      <c r="F13" s="25"/>
      <c r="G13" s="25"/>
      <c r="H13" s="25"/>
      <c r="I13" s="25"/>
      <c r="J13" s="25" t="s">
        <v>114</v>
      </c>
    </row>
    <row r="14" spans="2:10" x14ac:dyDescent="0.3">
      <c r="B14" t="s">
        <v>65</v>
      </c>
      <c r="D14" s="12">
        <f>Assumptions!D64</f>
        <v>600000</v>
      </c>
      <c r="E14" s="12">
        <f>Assumptions!D64/Assumptions!D15*Assumptions!E15*(1+Assumptions!E64)</f>
        <v>960000</v>
      </c>
      <c r="F14" s="12">
        <f>Assumptions!D64/Assumptions!D15*Assumptions!F15*(1+Assumptions!E64)^2</f>
        <v>1440000</v>
      </c>
      <c r="G14" s="12">
        <f>Assumptions!D64/Assumptions!D15*Assumptions!G15*(1+Assumptions!E64)^3</f>
        <v>1728000</v>
      </c>
      <c r="H14" s="12">
        <f>Assumptions!D64/Assumptions!D15*Assumptions!H15*(1+Assumptions!E64)^4</f>
        <v>2073600</v>
      </c>
      <c r="I14" s="5" t="s">
        <v>112</v>
      </c>
    </row>
    <row r="15" spans="2:10" x14ac:dyDescent="0.3">
      <c r="B15" t="s">
        <v>66</v>
      </c>
      <c r="D15" s="12">
        <f>Assumptions!D68</f>
        <v>240000</v>
      </c>
      <c r="E15" s="12">
        <f>D15*(1+Assumptions!E68)</f>
        <v>276000</v>
      </c>
      <c r="F15" s="12">
        <f>E15*(1+Assumptions!E68)</f>
        <v>317400</v>
      </c>
      <c r="G15" s="12">
        <f>F15*(1+Assumptions!E68)</f>
        <v>365010</v>
      </c>
      <c r="H15" s="12">
        <f>G15*(1+Assumptions!E68)</f>
        <v>419761.49999999994</v>
      </c>
      <c r="I15" s="5" t="s">
        <v>67</v>
      </c>
    </row>
    <row r="16" spans="2:10" x14ac:dyDescent="0.3">
      <c r="B16" t="s">
        <v>68</v>
      </c>
      <c r="D16" s="12">
        <f>Assumptions!D72</f>
        <v>55000.000000000007</v>
      </c>
      <c r="E16" s="12">
        <f>D16*(1+Assumptions!E72)</f>
        <v>71500.000000000015</v>
      </c>
      <c r="F16" s="12">
        <f>E16*(1+Assumptions!E72)</f>
        <v>92950.000000000029</v>
      </c>
      <c r="G16" s="12">
        <f>F16*(1+Assumptions!E72)</f>
        <v>120835.00000000004</v>
      </c>
      <c r="H16" s="12">
        <f>G16*(1+Assumptions!E72)</f>
        <v>157085.50000000006</v>
      </c>
      <c r="I16" s="5" t="s">
        <v>69</v>
      </c>
    </row>
    <row r="17" spans="2:10" x14ac:dyDescent="0.3">
      <c r="B17" t="s">
        <v>70</v>
      </c>
      <c r="D17" s="12">
        <f>Assumptions!D76</f>
        <v>55000.000000000007</v>
      </c>
      <c r="E17" s="12">
        <f>D17*(1+Assumptions!E76)</f>
        <v>63250</v>
      </c>
      <c r="F17" s="12">
        <f>E17*(1+Assumptions!E76)</f>
        <v>72737.5</v>
      </c>
      <c r="G17" s="12">
        <f>F17*(1+Assumptions!E76)</f>
        <v>83648.125</v>
      </c>
      <c r="H17" s="12">
        <f>G17*(1+Assumptions!E76)</f>
        <v>96195.343749999985</v>
      </c>
      <c r="I17" s="5" t="s">
        <v>67</v>
      </c>
    </row>
    <row r="18" spans="2:10" x14ac:dyDescent="0.3">
      <c r="B18" t="s">
        <v>71</v>
      </c>
      <c r="D18" s="12">
        <f>Assumptions!D80</f>
        <v>20000</v>
      </c>
      <c r="E18" s="12">
        <f>D18*(1+Assumptions!E80)</f>
        <v>21000</v>
      </c>
      <c r="F18" s="12">
        <f>E18*(1+Assumptions!E80)</f>
        <v>22050</v>
      </c>
      <c r="G18" s="12">
        <f>F18*(1+Assumptions!E80)</f>
        <v>23152.5</v>
      </c>
      <c r="H18" s="12">
        <f>G18*(1+Assumptions!E80)</f>
        <v>24310.125</v>
      </c>
    </row>
    <row r="20" spans="2:10" ht="15" thickBot="1" x14ac:dyDescent="0.35">
      <c r="B20" s="1" t="s">
        <v>72</v>
      </c>
      <c r="D20" s="14">
        <f>SUM(D14:D18)</f>
        <v>970000</v>
      </c>
      <c r="E20" s="14">
        <f>SUM(E14:E18)</f>
        <v>1391750</v>
      </c>
      <c r="F20" s="14">
        <f>SUM(F14:F18)</f>
        <v>1945137.5</v>
      </c>
      <c r="G20" s="14">
        <f>SUM(G14:G18)</f>
        <v>2320645.625</v>
      </c>
      <c r="H20" s="14">
        <f>SUM(H14:H18)</f>
        <v>2770952.46875</v>
      </c>
    </row>
    <row r="22" spans="2:10" x14ac:dyDescent="0.3">
      <c r="B22" s="27" t="s">
        <v>73</v>
      </c>
      <c r="C22" s="25"/>
      <c r="D22" s="25"/>
      <c r="E22" s="25"/>
      <c r="F22" s="25"/>
      <c r="G22" s="25"/>
      <c r="H22" s="25"/>
      <c r="I22" s="25"/>
      <c r="J22" s="25" t="s">
        <v>114</v>
      </c>
    </row>
    <row r="23" spans="2:10" x14ac:dyDescent="0.3">
      <c r="B23" s="31" t="s">
        <v>74</v>
      </c>
    </row>
    <row r="24" spans="2:10" x14ac:dyDescent="0.3">
      <c r="B24" t="s">
        <v>75</v>
      </c>
      <c r="D24" s="12">
        <f>Assumptions!D17*Assumptions!D35*(1+Assumptions!D33)</f>
        <v>368550</v>
      </c>
      <c r="E24" s="12">
        <f>Assumptions!E17*Assumptions!E35*(1+Assumptions!D33)</f>
        <v>674856</v>
      </c>
      <c r="F24" s="12">
        <f>Assumptions!F17*Assumptions!F35*(1+Assumptions!D33)</f>
        <v>1086096.375</v>
      </c>
      <c r="G24" s="12">
        <f>Assumptions!G17*Assumptions!G35*(1+Assumptions!D33)</f>
        <v>1118679.2662500003</v>
      </c>
      <c r="H24" s="12">
        <f>Assumptions!H17*Assumptions!H35*(1+Assumptions!D33)</f>
        <v>1152239.6442375001</v>
      </c>
      <c r="I24" s="5" t="s">
        <v>76</v>
      </c>
    </row>
    <row r="25" spans="2:10" x14ac:dyDescent="0.3">
      <c r="B25" t="s">
        <v>77</v>
      </c>
      <c r="D25" s="12">
        <f>Assumptions!D18*Assumptions!D36*(1+Assumptions!D33)</f>
        <v>52325</v>
      </c>
      <c r="E25" s="12">
        <f>Assumptions!E18*Assumptions!E36*(1+Assumptions!D33)</f>
        <v>53894.75</v>
      </c>
      <c r="F25" s="12">
        <f>Assumptions!F18*Assumptions!F36*(1+Assumptions!D33)</f>
        <v>111023.18500000001</v>
      </c>
      <c r="G25" s="12">
        <f>Assumptions!G18*Assumptions!G36*(1+Assumptions!D33)</f>
        <v>114353.88055000002</v>
      </c>
      <c r="H25" s="12">
        <f>Assumptions!H18*Assumptions!H36*(1+Assumptions!D33)</f>
        <v>117784.49696650001</v>
      </c>
      <c r="I25" s="5" t="s">
        <v>78</v>
      </c>
    </row>
    <row r="26" spans="2:10" x14ac:dyDescent="0.3">
      <c r="B26" t="s">
        <v>79</v>
      </c>
      <c r="D26" s="12">
        <f>Assumptions!D19*Assumptions!D37*(1+Assumptions!D33)</f>
        <v>26162.5</v>
      </c>
      <c r="E26" s="12">
        <f>Assumptions!E19*Assumptions!E37*(1+Assumptions!D33)</f>
        <v>26947.375</v>
      </c>
      <c r="F26" s="12">
        <f>Assumptions!F19*Assumptions!F37*(1+Assumptions!D33)</f>
        <v>55511.592500000006</v>
      </c>
      <c r="G26" s="12">
        <f>Assumptions!G19*Assumptions!G37*(1+Assumptions!D33)</f>
        <v>57176.940275000008</v>
      </c>
      <c r="H26" s="12">
        <f>Assumptions!H19*Assumptions!H37*(1+Assumptions!D33)</f>
        <v>58892.248483250005</v>
      </c>
      <c r="I26" s="5" t="s">
        <v>80</v>
      </c>
    </row>
    <row r="27" spans="2:10" x14ac:dyDescent="0.3">
      <c r="B27" t="s">
        <v>81</v>
      </c>
      <c r="D27" s="12">
        <f>Assumptions!D15*Assumptions!D40</f>
        <v>47250</v>
      </c>
      <c r="E27" s="12">
        <f>Assumptions!E15*Assumptions!D40*(1+Assumptions!D56)</f>
        <v>64260</v>
      </c>
      <c r="F27" s="12">
        <f>Assumptions!F15*Assumptions!D40*(1+Assumptions!D56)^2</f>
        <v>81931.5</v>
      </c>
      <c r="G27" s="12">
        <f>Assumptions!G15*Assumptions!D40*(1+Assumptions!D56)^3</f>
        <v>83570.12999999999</v>
      </c>
      <c r="H27" s="12">
        <f>Assumptions!H15*Assumptions!D40*(1+Assumptions!D56)^4</f>
        <v>85241.532599999991</v>
      </c>
      <c r="I27" s="5" t="s">
        <v>82</v>
      </c>
    </row>
    <row r="28" spans="2:10" x14ac:dyDescent="0.3">
      <c r="B28" t="s">
        <v>83</v>
      </c>
      <c r="D28" s="12">
        <f>Assumptions!D44+Assumptions!D17*Assumptions!D48</f>
        <v>19950</v>
      </c>
      <c r="E28" s="12">
        <f>Assumptions!D44+Assumptions!E17*Assumptions!D48</f>
        <v>27300</v>
      </c>
      <c r="F28" s="12">
        <f>Assumptions!D44+Assumptions!F17*Assumptions!D48</f>
        <v>36750</v>
      </c>
      <c r="G28" s="12">
        <f>Assumptions!D44+Assumptions!G17*Assumptions!D48</f>
        <v>36750</v>
      </c>
      <c r="H28" s="12">
        <f>Assumptions!D44+Assumptions!H17*Assumptions!D48</f>
        <v>36750</v>
      </c>
      <c r="I28" s="5" t="s">
        <v>84</v>
      </c>
    </row>
    <row r="29" spans="2:10" x14ac:dyDescent="0.3">
      <c r="B29" t="s">
        <v>85</v>
      </c>
      <c r="D29" s="12">
        <f>Assumptions!D15*Assumptions!D52</f>
        <v>15750</v>
      </c>
      <c r="E29" s="12">
        <f>Assumptions!E15*Assumptions!D52*(1+Assumptions!D56)</f>
        <v>21420</v>
      </c>
      <c r="F29" s="12">
        <f>Assumptions!F15*Assumptions!D52*(1+Assumptions!D56)^2</f>
        <v>27310.5</v>
      </c>
      <c r="G29" s="12">
        <f>Assumptions!G15*Assumptions!D52*(1+Assumptions!D56)^3</f>
        <v>27856.71</v>
      </c>
      <c r="H29" s="12">
        <f>Assumptions!H15*Assumptions!D52*(1+Assumptions!D56)^4</f>
        <v>28413.8442</v>
      </c>
      <c r="I29" s="5" t="s">
        <v>86</v>
      </c>
    </row>
    <row r="30" spans="2:10" x14ac:dyDescent="0.3">
      <c r="B30" t="s">
        <v>87</v>
      </c>
      <c r="D30" s="12">
        <f>Assumptions!D57</f>
        <v>15750</v>
      </c>
      <c r="E30" s="15">
        <v>0</v>
      </c>
      <c r="F30" s="15">
        <v>0</v>
      </c>
      <c r="G30" s="15">
        <v>0</v>
      </c>
      <c r="H30" s="15">
        <v>0</v>
      </c>
      <c r="I30" s="5" t="s">
        <v>88</v>
      </c>
    </row>
    <row r="32" spans="2:10" x14ac:dyDescent="0.3">
      <c r="B32" s="1" t="s">
        <v>89</v>
      </c>
      <c r="D32" s="13">
        <f>SUM(D24:D30)</f>
        <v>545737.5</v>
      </c>
      <c r="E32" s="13">
        <f>SUM(E24:E30)</f>
        <v>868678.125</v>
      </c>
      <c r="F32" s="13">
        <f>SUM(F24:F30)</f>
        <v>1398623.1525000001</v>
      </c>
      <c r="G32" s="13">
        <f>SUM(G24:G30)</f>
        <v>1438386.9270750002</v>
      </c>
      <c r="H32" s="13">
        <f>SUM(H24:H30)</f>
        <v>1479321.7664872501</v>
      </c>
    </row>
    <row r="34" spans="2:10" x14ac:dyDescent="0.3">
      <c r="B34" s="1" t="s">
        <v>90</v>
      </c>
      <c r="D34" s="13">
        <f>D32*Assumptions!D83/(1-Assumptions!D83)</f>
        <v>60637.5</v>
      </c>
      <c r="E34" s="13">
        <f>E32*Assumptions!D83/(1-Assumptions!D83)</f>
        <v>96519.791666666672</v>
      </c>
      <c r="F34" s="13">
        <f>F32*Assumptions!D83/(1-Assumptions!D83)</f>
        <v>155402.57250000001</v>
      </c>
      <c r="G34" s="13">
        <f>G32*Assumptions!D83/(1-Assumptions!D83)</f>
        <v>159820.76967500005</v>
      </c>
      <c r="H34" s="13">
        <f>H32*Assumptions!D83/(1-Assumptions!D83)</f>
        <v>164369.08516525003</v>
      </c>
      <c r="I34" s="5" t="s">
        <v>91</v>
      </c>
    </row>
    <row r="36" spans="2:10" x14ac:dyDescent="0.3">
      <c r="B36" t="s">
        <v>92</v>
      </c>
    </row>
    <row r="37" spans="2:10" x14ac:dyDescent="0.3">
      <c r="B37" s="16" t="s">
        <v>93</v>
      </c>
      <c r="D37" s="17">
        <f>D15+D16+D17</f>
        <v>350000</v>
      </c>
      <c r="E37" s="17">
        <f>E15+E16+E17</f>
        <v>410750</v>
      </c>
      <c r="F37" s="17">
        <f>F15+F16+F17</f>
        <v>483087.5</v>
      </c>
      <c r="G37" s="17">
        <f>G15+G16+G17</f>
        <v>569493.125</v>
      </c>
      <c r="H37" s="17">
        <f>H15+H16+H17</f>
        <v>673042.34375</v>
      </c>
      <c r="I37" s="5" t="s">
        <v>94</v>
      </c>
    </row>
    <row r="38" spans="2:10" x14ac:dyDescent="0.3">
      <c r="B38" s="1" t="s">
        <v>95</v>
      </c>
      <c r="D38" s="13">
        <f>D37*Assumptions!$D$87</f>
        <v>42000</v>
      </c>
      <c r="E38" s="13">
        <f>E37*Assumptions!$D$87</f>
        <v>49290</v>
      </c>
      <c r="F38" s="13">
        <f>F37*Assumptions!$D$87</f>
        <v>57970.5</v>
      </c>
      <c r="G38" s="13">
        <f>G37*Assumptions!$D$87</f>
        <v>68339.175000000003</v>
      </c>
      <c r="H38" s="13">
        <f>H37*Assumptions!$D$87</f>
        <v>80765.081250000003</v>
      </c>
      <c r="I38" s="5" t="s">
        <v>96</v>
      </c>
    </row>
    <row r="40" spans="2:10" ht="15" thickBot="1" x14ac:dyDescent="0.35">
      <c r="B40" s="1" t="s">
        <v>97</v>
      </c>
      <c r="D40" s="14">
        <f>D32+D34+D38</f>
        <v>648375</v>
      </c>
      <c r="E40" s="14">
        <f>E32+E34+E38</f>
        <v>1014487.9166666666</v>
      </c>
      <c r="F40" s="14">
        <f>F32+F34+F38</f>
        <v>1611996.2250000001</v>
      </c>
      <c r="G40" s="14">
        <f>G32+G34+G38</f>
        <v>1666546.8717500004</v>
      </c>
      <c r="H40" s="14">
        <f>H32+H34+H38</f>
        <v>1724455.9329025003</v>
      </c>
    </row>
    <row r="42" spans="2:10" ht="15" thickBot="1" x14ac:dyDescent="0.35">
      <c r="B42" s="27" t="s">
        <v>98</v>
      </c>
      <c r="C42" s="25"/>
      <c r="D42" s="25"/>
      <c r="E42" s="25"/>
      <c r="F42" s="25"/>
      <c r="G42" s="25"/>
      <c r="H42" s="25"/>
      <c r="I42" s="25"/>
      <c r="J42" s="25" t="s">
        <v>114</v>
      </c>
    </row>
    <row r="43" spans="2:10" ht="15" thickBot="1" x14ac:dyDescent="0.35">
      <c r="B43" s="1" t="s">
        <v>99</v>
      </c>
      <c r="D43" s="21">
        <f>D20-D40</f>
        <v>321625</v>
      </c>
      <c r="E43" s="21">
        <f>E20-E40</f>
        <v>377262.08333333337</v>
      </c>
      <c r="F43" s="21">
        <f>F20-F40</f>
        <v>333141.27499999991</v>
      </c>
      <c r="G43" s="21">
        <f>G20-G40</f>
        <v>654098.7532499996</v>
      </c>
      <c r="H43" s="21">
        <f>H20-H40</f>
        <v>1046496.5358474997</v>
      </c>
      <c r="I43" s="5" t="s">
        <v>100</v>
      </c>
    </row>
    <row r="44" spans="2:10" ht="15" thickTop="1" x14ac:dyDescent="0.3"/>
    <row r="45" spans="2:10" x14ac:dyDescent="0.3">
      <c r="B45" s="1" t="s">
        <v>101</v>
      </c>
      <c r="D45" s="18">
        <f>IF(D20=0,0,D43/D20)</f>
        <v>0.3315721649484536</v>
      </c>
      <c r="E45" s="18">
        <f>IF(E20=0,0,E43/E20)</f>
        <v>0.27107029519190473</v>
      </c>
      <c r="F45" s="18">
        <f>IF(F20=0,0,F43/F20)</f>
        <v>0.17126875349429019</v>
      </c>
      <c r="G45" s="18">
        <f>IF(G20=0,0,G43/G20)</f>
        <v>0.28186067971924822</v>
      </c>
      <c r="H45" s="18">
        <f>IF(H20=0,0,H43/H20)</f>
        <v>0.37766672205661583</v>
      </c>
    </row>
    <row r="46" spans="2:10" x14ac:dyDescent="0.3">
      <c r="B46" s="1"/>
      <c r="D46" s="18"/>
      <c r="E46" s="18"/>
      <c r="F46" s="18"/>
      <c r="G46" s="18"/>
      <c r="H46" s="18"/>
    </row>
    <row r="47" spans="2:10" s="46" customFormat="1" x14ac:dyDescent="0.3">
      <c r="B47" s="47" t="s">
        <v>124</v>
      </c>
      <c r="C47" s="48"/>
      <c r="D47" s="49">
        <f>D43</f>
        <v>321625</v>
      </c>
      <c r="E47" s="49">
        <f>D47+E43</f>
        <v>698887.08333333337</v>
      </c>
      <c r="F47" s="49">
        <f t="shared" ref="F47:H47" si="0">E47+F43</f>
        <v>1032028.3583333333</v>
      </c>
      <c r="G47" s="49">
        <f t="shared" si="0"/>
        <v>1686127.111583333</v>
      </c>
      <c r="H47" s="50">
        <f t="shared" si="0"/>
        <v>2732623.6474308325</v>
      </c>
    </row>
    <row r="49" spans="2:10" x14ac:dyDescent="0.3">
      <c r="B49" s="27" t="s">
        <v>103</v>
      </c>
      <c r="C49" s="25"/>
      <c r="D49" s="25"/>
      <c r="E49" s="25"/>
      <c r="F49" s="25"/>
      <c r="G49" s="25"/>
      <c r="H49" s="25"/>
      <c r="I49" s="25"/>
      <c r="J49" s="25" t="s">
        <v>114</v>
      </c>
    </row>
    <row r="50" spans="2:10" x14ac:dyDescent="0.3">
      <c r="B50" t="s">
        <v>104</v>
      </c>
      <c r="D50" s="19">
        <f>IF(D40=0,0,D32/D40)</f>
        <v>0.84170040485829956</v>
      </c>
      <c r="E50" s="19">
        <f>IF(E40=0,0,E32/E40)</f>
        <v>0.85627252008505117</v>
      </c>
      <c r="F50" s="19">
        <f>IF(F40=0,0,F32/F40)</f>
        <v>0.86763426043382952</v>
      </c>
      <c r="G50" s="19">
        <f>IF(G40=0,0,G32/G40)</f>
        <v>0.86309419282314281</v>
      </c>
      <c r="H50" s="19">
        <f>IF(H40=0,0,H32/H40)</f>
        <v>0.85784840207389057</v>
      </c>
      <c r="I50" s="5" t="s">
        <v>113</v>
      </c>
    </row>
    <row r="51" spans="2:10" x14ac:dyDescent="0.3">
      <c r="B51" t="s">
        <v>105</v>
      </c>
      <c r="D51" s="19">
        <f>IF(D20=0,0,D37/D20)</f>
        <v>0.36082474226804123</v>
      </c>
      <c r="E51" s="19">
        <f>IF(E20=0,0,E37/E20)</f>
        <v>0.29513202802227412</v>
      </c>
      <c r="F51" s="19">
        <f>IF(F20=0,0,F37/F20)</f>
        <v>0.24835647865510793</v>
      </c>
      <c r="G51" s="19">
        <f>IF(G20=0,0,G37/G20)</f>
        <v>0.24540288222593229</v>
      </c>
      <c r="H51" s="19">
        <f>IF(H20=0,0,H37/H20)</f>
        <v>0.24289205655469617</v>
      </c>
      <c r="I51" s="5" t="s">
        <v>106</v>
      </c>
    </row>
    <row r="52" spans="2:10" x14ac:dyDescent="0.3">
      <c r="B52" t="s">
        <v>107</v>
      </c>
      <c r="D52" s="19">
        <f>IF(D20=0,0,D14/D20)</f>
        <v>0.61855670103092786</v>
      </c>
      <c r="E52" s="19">
        <f>IF(E20=0,0,E14/E20)</f>
        <v>0.68977905514639837</v>
      </c>
      <c r="F52" s="19">
        <f>IF(F20=0,0,F14/F20)</f>
        <v>0.74030756180475676</v>
      </c>
      <c r="G52" s="19">
        <f>IF(G20=0,0,G14/G20)</f>
        <v>0.74462036830806511</v>
      </c>
      <c r="H52" s="19">
        <f>IF(H20=0,0,H14/H20)</f>
        <v>0.74833474171262793</v>
      </c>
      <c r="I52" s="5" t="s">
        <v>108</v>
      </c>
    </row>
    <row r="54" spans="2:10" x14ac:dyDescent="0.3">
      <c r="B54" s="24" t="s">
        <v>109</v>
      </c>
      <c r="C54" s="25"/>
      <c r="D54" s="25"/>
      <c r="E54" s="25"/>
      <c r="F54" s="25"/>
      <c r="G54" s="25"/>
      <c r="H54" s="25"/>
      <c r="I54" s="25"/>
      <c r="J54" s="25"/>
    </row>
    <row r="55" spans="2:10" x14ac:dyDescent="0.3">
      <c r="B55" s="20" t="s">
        <v>125</v>
      </c>
    </row>
    <row r="56" spans="2:10" x14ac:dyDescent="0.3">
      <c r="B56" s="20" t="s">
        <v>126</v>
      </c>
    </row>
    <row r="57" spans="2:10" x14ac:dyDescent="0.3">
      <c r="B57" s="20" t="s">
        <v>127</v>
      </c>
    </row>
    <row r="58" spans="2:10" x14ac:dyDescent="0.3">
      <c r="B58" s="20" t="s">
        <v>128</v>
      </c>
    </row>
    <row r="59" spans="2:10" x14ac:dyDescent="0.3">
      <c r="B59" s="20" t="s">
        <v>110</v>
      </c>
    </row>
    <row r="60" spans="2:10" x14ac:dyDescent="0.3">
      <c r="B60" s="20" t="s">
        <v>129</v>
      </c>
    </row>
    <row r="61" spans="2:10" x14ac:dyDescent="0.3">
      <c r="B61" s="20" t="s">
        <v>130</v>
      </c>
    </row>
    <row r="62" spans="2:10" x14ac:dyDescent="0.3">
      <c r="B62" s="20" t="s">
        <v>131</v>
      </c>
    </row>
    <row r="63" spans="2:10" x14ac:dyDescent="0.3">
      <c r="B63" s="20" t="s">
        <v>111</v>
      </c>
    </row>
    <row r="64" spans="2:10" x14ac:dyDescent="0.3">
      <c r="B64" s="20" t="s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5Y Projection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Liu</dc:creator>
  <cp:keywords/>
  <dc:description/>
  <cp:lastModifiedBy>Liu, Richard</cp:lastModifiedBy>
  <cp:revision/>
  <dcterms:created xsi:type="dcterms:W3CDTF">2015-06-05T18:17:20Z</dcterms:created>
  <dcterms:modified xsi:type="dcterms:W3CDTF">2026-02-23T05:42:52Z</dcterms:modified>
  <cp:category/>
  <cp:contentStatus/>
</cp:coreProperties>
</file>